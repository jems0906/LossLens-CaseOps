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vents" sheetId="2" state="visible" r:id="rId2"/>
    <sheet name="Cases" sheetId="3" state="visible" r:id="rId3"/>
    <sheet name="Reconciliation" sheetId="4" state="visible" r:id="rId4"/>
    <sheet name="One Page Summary" sheetId="5" state="visible" r:id="rId5"/>
  </sheets>
  <definedNames>
    <definedName name="_xlnm._FilterDatabase" localSheetId="0" hidden="1">'Start Here'!$A$1:$B$10</definedName>
    <definedName name="_xlnm._FilterDatabase" localSheetId="1" hidden="1">'Events'!$A$1:$J$14</definedName>
    <definedName name="_xlnm._FilterDatabase" localSheetId="2" hidden="1">'Cases'!$A$1:$R$3</definedName>
    <definedName name="_xlnm._FilterDatabase" localSheetId="3" hidden="1">'Reconciliation'!$A$1:$M$6</definedName>
    <definedName name="_xlnm._FilterDatabase" localSheetId="4" hidden="1">'One Page Summary'!$A$1:$C$9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749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Events" displayName="Events" ref="A1:J14" headerRowCount="1">
  <autoFilter ref="A1:J14"/>
  <tableColumns count="10">
    <tableColumn id="1" name="event_id"/>
    <tableColumn id="2" name="event_type"/>
    <tableColumn id="3" name="process_step"/>
    <tableColumn id="4" name="site_id"/>
    <tableColumn id="5" name="occurred_at"/>
    <tableColumn id="6" name="quantity"/>
    <tableColumn id="7" name="source_ref"/>
    <tableColumn id="8" name="reconciliation_id"/>
    <tableColumn id="9" name="duplicate_id"/>
    <tableColumn id="10" name="normalized_week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Cases" displayName="Cases" ref="A1:R3" headerRowCount="1">
  <autoFilter ref="A1:R3"/>
  <tableColumns count="18">
    <tableColumn id="1" name="case_id"/>
    <tableColumn id="2" name="simulated"/>
    <tableColumn id="3" name="case_type"/>
    <tableColumn id="4" name="report_source"/>
    <tableColumn id="5" name="priority"/>
    <tableColumn id="6" name="owner"/>
    <tableColumn id="7" name="status"/>
    <tableColumn id="8" name="site_id"/>
    <tableColumn id="9" name="process_step"/>
    <tableColumn id="10" name="reconciliation_id"/>
    <tableColumn id="11" name="expected_units"/>
    <tableColumn id="12" name="recorded_units"/>
    <tableColumn id="13" name="raw_discrepancy_units"/>
    <tableColumn id="14" name="unexplained_units"/>
    <tableColumn id="15" name="opened_at"/>
    <tableColumn id="16" name="closed_at"/>
    <tableColumn id="17" name="open_age_days"/>
    <tableColumn id="18" name="closed_duration_days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Reconciliation" displayName="Reconciliation" ref="A1:M6" headerRowCount="1">
  <autoFilter ref="A1:M6"/>
  <tableColumns count="13">
    <tableColumn id="1" name="reconciliation_id"/>
    <tableColumn id="2" name="site_id"/>
    <tableColumn id="3" name="process_step"/>
    <tableColumn id="4" name="week_start"/>
    <tableColumn id="5" name="expected_units"/>
    <tableColumn id="6" name="recorded_units"/>
    <tableColumn id="7" name="correction_units"/>
    <tableColumn id="8" name="documented_adjustment_units"/>
    <tableColumn id="9" name="correction_source_ref"/>
    <tableColumn id="10" name="raw_mismatch"/>
    <tableColumn id="11" name="expected_minus_recorded"/>
    <tableColumn id="12" name="unexplained_units"/>
    <tableColumn id="13" name="discrepancy_rat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5" customWidth="1" min="2" max="2"/>
  </cols>
  <sheetData>
    <row r="1" ht="25" customHeight="1">
      <c r="A1" s="1" t="inlineStr">
        <is>
          <t>LossLens CaseOps | Synthetic Excel Practice</t>
        </is>
      </c>
      <c r="B1" s="1" t="n"/>
    </row>
    <row r="2">
      <c r="A2" t="inlineStr">
        <is>
          <t>Dataset</t>
        </is>
      </c>
      <c r="B2" t="inlineStr">
        <is>
          <t>Fictional shipment, receipt, transfer, return, and inventory adjustment records only.</t>
        </is>
      </c>
    </row>
    <row r="3">
      <c r="A3" t="inlineStr">
        <is>
          <t>Exercise status</t>
        </is>
      </c>
      <c r="B3" t="inlineStr">
        <is>
          <t>Workbook scaffold generated. Build and screenshot actual PivotTables in desktop Excel.</t>
        </is>
      </c>
    </row>
    <row r="4">
      <c r="A4" t="inlineStr">
        <is>
          <t>Duplicate check</t>
        </is>
      </c>
      <c r="B4" t="inlineStr">
        <is>
          <t>Events table: =COUNTIFS(Events[event_id],[@event_id])&gt;1</t>
        </is>
      </c>
    </row>
    <row r="5">
      <c r="A5" t="inlineStr">
        <is>
          <t>Expected units</t>
        </is>
      </c>
      <c r="B5" t="inlineStr">
        <is>
          <t>Reconciliation table uses SUMIFS by reconciliation_id and event_type.</t>
        </is>
      </c>
    </row>
    <row r="6">
      <c r="A6" t="inlineStr">
        <is>
          <t>Recorded units</t>
        </is>
      </c>
      <c r="B6" t="inlineStr">
        <is>
          <t>Receipt, transfer_out, and return rows are recorded at this defined handoff step.</t>
        </is>
      </c>
    </row>
    <row r="7">
      <c r="A7" t="inlineStr">
        <is>
          <t>Missing values</t>
        </is>
      </c>
      <c r="B7" t="inlineStr">
        <is>
          <t>Keep missing measures blank/unknown. Never coerce an absent denominator to zero.</t>
        </is>
      </c>
    </row>
    <row r="8">
      <c r="A8" t="inlineStr">
        <is>
          <t>Timezone</t>
        </is>
      </c>
      <c r="B8" t="inlineStr">
        <is>
          <t>Source timestamps are UTC ISO 8601. Preserve raw values; normalize before grouping by week.</t>
        </is>
      </c>
    </row>
    <row r="9">
      <c r="A9" t="inlineStr">
        <is>
          <t>PivotTables</t>
        </is>
      </c>
      <c r="B9" t="inlineStr">
        <is>
          <t>Insert PivotTables from Events/Cases. Group by fictional site, process, and normalized week.</t>
        </is>
      </c>
    </row>
    <row r="10">
      <c r="A10" t="inlineStr">
        <is>
          <t>Caution</t>
        </is>
      </c>
      <c r="B10" t="inlineStr">
        <is>
          <t>A records mismatch is not proof of theft or misconduct.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4" customWidth="1" min="4" max="4"/>
    <col width="30" customWidth="1" min="5" max="5"/>
    <col width="12" customWidth="1" min="6" max="6"/>
    <col width="25" customWidth="1" min="7" max="7"/>
    <col width="19" customWidth="1" min="8" max="8"/>
    <col width="35" customWidth="1" min="9" max="9"/>
    <col width="42" customWidth="1" min="10" max="10"/>
  </cols>
  <sheetData>
    <row r="1" ht="25" customHeight="1">
      <c r="A1" s="1" t="inlineStr">
        <is>
          <t>event_id</t>
        </is>
      </c>
      <c r="B1" s="1" t="inlineStr">
        <is>
          <t>event_type</t>
        </is>
      </c>
      <c r="C1" s="1" t="inlineStr">
        <is>
          <t>process_step</t>
        </is>
      </c>
      <c r="D1" s="1" t="inlineStr">
        <is>
          <t>site_id</t>
        </is>
      </c>
      <c r="E1" s="1" t="inlineStr">
        <is>
          <t>occurred_at</t>
        </is>
      </c>
      <c r="F1" s="1" t="inlineStr">
        <is>
          <t>quantity</t>
        </is>
      </c>
      <c r="G1" s="1" t="inlineStr">
        <is>
          <t>source_ref</t>
        </is>
      </c>
      <c r="H1" s="1" t="inlineStr">
        <is>
          <t>reconciliation_id</t>
        </is>
      </c>
      <c r="I1" s="1" t="inlineStr">
        <is>
          <t>duplicate_id</t>
        </is>
      </c>
      <c r="J1" s="1" t="inlineStr">
        <is>
          <t>normalized_week</t>
        </is>
      </c>
    </row>
    <row r="2">
      <c r="A2" t="inlineStr">
        <is>
          <t>EVT-SYN-001</t>
        </is>
      </c>
      <c r="B2" t="inlineStr">
        <is>
          <t>shipment</t>
        </is>
      </c>
      <c r="C2" t="inlineStr">
        <is>
          <t>receiving_handoff</t>
        </is>
      </c>
      <c r="D2" t="inlineStr">
        <is>
          <t>SITE-NORTH</t>
        </is>
      </c>
      <c r="E2" t="inlineStr">
        <is>
          <t>2026-10-19T08:00:00Z</t>
        </is>
      </c>
      <c r="F2" t="inlineStr">
        <is>
          <t>100</t>
        </is>
      </c>
      <c r="G2" t="inlineStr">
        <is>
          <t>DOC-SHIP-001</t>
        </is>
      </c>
      <c r="H2" t="inlineStr">
        <is>
          <t>REC-SYN-001</t>
        </is>
      </c>
      <c r="I2">
        <f>COUNTIFS(Events[event_id],A2)&gt;1</f>
        <v/>
      </c>
      <c r="J2">
        <f>TEXT(DATEVALUE(LEFT(E2,10))-WEEKDAY(DATEVALUE(LEFT(E2,10)),2)+1,"yyyy-mm-dd")</f>
        <v/>
      </c>
    </row>
    <row r="3">
      <c r="A3" t="inlineStr">
        <is>
          <t>EVT-SYN-002</t>
        </is>
      </c>
      <c r="B3" t="inlineStr">
        <is>
          <t>receipt</t>
        </is>
      </c>
      <c r="C3" t="inlineStr">
        <is>
          <t>receiving_handoff</t>
        </is>
      </c>
      <c r="D3" t="inlineStr">
        <is>
          <t>SITE-NORTH</t>
        </is>
      </c>
      <c r="E3" t="inlineStr">
        <is>
          <t>2026-10-19T09:10:00Z</t>
        </is>
      </c>
      <c r="F3" t="inlineStr">
        <is>
          <t>92</t>
        </is>
      </c>
      <c r="G3" t="inlineStr">
        <is>
          <t>DOC-RECEIPT-001</t>
        </is>
      </c>
      <c r="H3" t="inlineStr">
        <is>
          <t>REC-SYN-001</t>
        </is>
      </c>
      <c r="I3">
        <f>COUNTIFS(Events[event_id],A3)&gt;1</f>
        <v/>
      </c>
      <c r="J3">
        <f>TEXT(DATEVALUE(LEFT(E3,10))-WEEKDAY(DATEVALUE(LEFT(E3,10)),2)+1,"yyyy-mm-dd")</f>
        <v/>
      </c>
    </row>
    <row r="4">
      <c r="A4" t="inlineStr">
        <is>
          <t>EVT-SYN-003</t>
        </is>
      </c>
      <c r="B4" t="inlineStr">
        <is>
          <t>receipt_correction</t>
        </is>
      </c>
      <c r="C4" t="inlineStr">
        <is>
          <t>receiving_handoff</t>
        </is>
      </c>
      <c r="D4" t="inlineStr">
        <is>
          <t>SITE-NORTH</t>
        </is>
      </c>
      <c r="E4" t="inlineStr">
        <is>
          <t>2026-10-20T11:30:00Z</t>
        </is>
      </c>
      <c r="F4" t="inlineStr">
        <is>
          <t>5</t>
        </is>
      </c>
      <c r="G4" t="inlineStr">
        <is>
          <t>DOC-CORRECTION-001</t>
        </is>
      </c>
      <c r="H4" t="inlineStr">
        <is>
          <t>REC-SYN-001</t>
        </is>
      </c>
      <c r="I4">
        <f>COUNTIFS(Events[event_id],A4)&gt;1</f>
        <v/>
      </c>
      <c r="J4">
        <f>TEXT(DATEVALUE(LEFT(E4,10))-WEEKDAY(DATEVALUE(LEFT(E4,10)),2)+1,"yyyy-mm-dd")</f>
        <v/>
      </c>
    </row>
    <row r="5">
      <c r="A5" t="inlineStr">
        <is>
          <t>EVT-SYN-004</t>
        </is>
      </c>
      <c r="B5" t="inlineStr">
        <is>
          <t>damage_adjustment</t>
        </is>
      </c>
      <c r="C5" t="inlineStr">
        <is>
          <t>receiving_handoff</t>
        </is>
      </c>
      <c r="D5" t="inlineStr">
        <is>
          <t>SITE-NORTH</t>
        </is>
      </c>
      <c r="E5" t="inlineStr">
        <is>
          <t>2026-10-19T10:00:00Z</t>
        </is>
      </c>
      <c r="F5" t="inlineStr">
        <is>
          <t>3</t>
        </is>
      </c>
      <c r="G5" t="inlineStr">
        <is>
          <t>DOC-DAMAGE-001</t>
        </is>
      </c>
      <c r="H5" t="inlineStr">
        <is>
          <t>REC-SYN-001</t>
        </is>
      </c>
      <c r="I5">
        <f>COUNTIFS(Events[event_id],A5)&gt;1</f>
        <v/>
      </c>
      <c r="J5">
        <f>TEXT(DATEVALUE(LEFT(E5,10))-WEEKDAY(DATEVALUE(LEFT(E5,10)),2)+1,"yyyy-mm-dd")</f>
        <v/>
      </c>
    </row>
    <row r="6">
      <c r="A6" t="inlineStr">
        <is>
          <t>EVT-SYN-005</t>
        </is>
      </c>
      <c r="B6" t="inlineStr">
        <is>
          <t>shipment</t>
        </is>
      </c>
      <c r="C6" t="inlineStr">
        <is>
          <t>returns_handoff</t>
        </is>
      </c>
      <c r="D6" t="inlineStr">
        <is>
          <t>SITE-WEST</t>
        </is>
      </c>
      <c r="E6" t="inlineStr">
        <is>
          <t>2026-10-21T07:00:00Z</t>
        </is>
      </c>
      <c r="F6" t="inlineStr">
        <is>
          <t>12</t>
        </is>
      </c>
      <c r="G6" t="inlineStr">
        <is>
          <t>DOC-SHIP-002</t>
        </is>
      </c>
      <c r="H6" t="inlineStr">
        <is>
          <t>REC-SYN-002</t>
        </is>
      </c>
      <c r="I6">
        <f>COUNTIFS(Events[event_id],A6)&gt;1</f>
        <v/>
      </c>
      <c r="J6">
        <f>TEXT(DATEVALUE(LEFT(E6,10))-WEEKDAY(DATEVALUE(LEFT(E6,10)),2)+1,"yyyy-mm-dd")</f>
        <v/>
      </c>
    </row>
    <row r="7">
      <c r="A7" t="inlineStr">
        <is>
          <t>EVT-SYN-006</t>
        </is>
      </c>
      <c r="B7" t="inlineStr">
        <is>
          <t>receipt</t>
        </is>
      </c>
      <c r="C7" t="inlineStr">
        <is>
          <t>returns_handoff</t>
        </is>
      </c>
      <c r="D7" t="inlineStr">
        <is>
          <t>SITE-WEST</t>
        </is>
      </c>
      <c r="E7" t="inlineStr">
        <is>
          <t>2026-10-21T08:00:00Z</t>
        </is>
      </c>
      <c r="F7" t="inlineStr">
        <is>
          <t>10</t>
        </is>
      </c>
      <c r="G7" t="inlineStr">
        <is>
          <t>DOC-RECEIPT-002</t>
        </is>
      </c>
      <c r="H7" t="inlineStr">
        <is>
          <t>REC-SYN-002</t>
        </is>
      </c>
      <c r="I7">
        <f>COUNTIFS(Events[event_id],A7)&gt;1</f>
        <v/>
      </c>
      <c r="J7">
        <f>TEXT(DATEVALUE(LEFT(E7,10))-WEEKDAY(DATEVALUE(LEFT(E7,10)),2)+1,"yyyy-mm-dd")</f>
        <v/>
      </c>
    </row>
    <row r="8">
      <c r="A8" t="inlineStr">
        <is>
          <t>EVT-SYN-101</t>
        </is>
      </c>
      <c r="B8" t="inlineStr">
        <is>
          <t>transfer_in</t>
        </is>
      </c>
      <c r="C8" t="inlineStr">
        <is>
          <t>transfer_handoff</t>
        </is>
      </c>
      <c r="D8" t="inlineStr">
        <is>
          <t>SITE-SOUTH</t>
        </is>
      </c>
      <c r="E8" t="inlineStr">
        <is>
          <t>2026-10-19T13:00:00Z</t>
        </is>
      </c>
      <c r="F8" t="inlineStr">
        <is>
          <t>6</t>
        </is>
      </c>
      <c r="G8" t="inlineStr">
        <is>
          <t>DOC-TRANSFER-IN-001</t>
        </is>
      </c>
      <c r="H8" t="inlineStr">
        <is>
          <t>REC-SYN-101</t>
        </is>
      </c>
      <c r="I8">
        <f>COUNTIFS(Events[event_id],A8)&gt;1</f>
        <v/>
      </c>
      <c r="J8">
        <f>TEXT(DATEVALUE(LEFT(E8,10))-WEEKDAY(DATEVALUE(LEFT(E8,10)),2)+1,"yyyy-mm-dd")</f>
        <v/>
      </c>
    </row>
    <row r="9">
      <c r="A9" t="inlineStr">
        <is>
          <t>EVT-SYN-102</t>
        </is>
      </c>
      <c r="B9" t="inlineStr">
        <is>
          <t>transfer_out</t>
        </is>
      </c>
      <c r="C9" t="inlineStr">
        <is>
          <t>transfer_handoff</t>
        </is>
      </c>
      <c r="D9" t="inlineStr">
        <is>
          <t>SITE-SOUTH</t>
        </is>
      </c>
      <c r="E9" t="inlineStr">
        <is>
          <t>2026-10-19T14:00:00Z</t>
        </is>
      </c>
      <c r="F9" t="inlineStr">
        <is>
          <t>6</t>
        </is>
      </c>
      <c r="G9" t="inlineStr">
        <is>
          <t>DOC-TRANSFER-OUT-001</t>
        </is>
      </c>
      <c r="H9" t="inlineStr">
        <is>
          <t>REC-SYN-101</t>
        </is>
      </c>
      <c r="I9">
        <f>COUNTIFS(Events[event_id],A9)&gt;1</f>
        <v/>
      </c>
      <c r="J9">
        <f>TEXT(DATEVALUE(LEFT(E9,10))-WEEKDAY(DATEVALUE(LEFT(E9,10)),2)+1,"yyyy-mm-dd")</f>
        <v/>
      </c>
    </row>
    <row r="10">
      <c r="A10" t="inlineStr">
        <is>
          <t>EVT-SYN-201</t>
        </is>
      </c>
      <c r="B10" t="inlineStr">
        <is>
          <t>shipment</t>
        </is>
      </c>
      <c r="C10" t="inlineStr">
        <is>
          <t>returns_handoff</t>
        </is>
      </c>
      <c r="D10" t="inlineStr">
        <is>
          <t>SITE-EAST</t>
        </is>
      </c>
      <c r="E10" t="inlineStr">
        <is>
          <t>2026-10-20T08:00:00Z</t>
        </is>
      </c>
      <c r="F10" t="inlineStr">
        <is>
          <t>4</t>
        </is>
      </c>
      <c r="G10" t="inlineStr">
        <is>
          <t>DOC-RETURN-EXPECTED-001</t>
        </is>
      </c>
      <c r="H10" t="inlineStr">
        <is>
          <t>REC-SYN-201</t>
        </is>
      </c>
      <c r="I10">
        <f>COUNTIFS(Events[event_id],A10)&gt;1</f>
        <v/>
      </c>
      <c r="J10">
        <f>TEXT(DATEVALUE(LEFT(E10,10))-WEEKDAY(DATEVALUE(LEFT(E10,10)),2)+1,"yyyy-mm-dd")</f>
        <v/>
      </c>
    </row>
    <row r="11">
      <c r="A11" t="inlineStr">
        <is>
          <t>EVT-SYN-202</t>
        </is>
      </c>
      <c r="B11" t="inlineStr">
        <is>
          <t>return</t>
        </is>
      </c>
      <c r="C11" t="inlineStr">
        <is>
          <t>returns_handoff</t>
        </is>
      </c>
      <c r="D11" t="inlineStr">
        <is>
          <t>SITE-EAST</t>
        </is>
      </c>
      <c r="E11" t="inlineStr">
        <is>
          <t>2026-10-20T09:00:00Z</t>
        </is>
      </c>
      <c r="F11" t="inlineStr">
        <is>
          <t>4</t>
        </is>
      </c>
      <c r="G11" t="inlineStr">
        <is>
          <t>DOC-RETURN-RECEIPT-001</t>
        </is>
      </c>
      <c r="H11" t="inlineStr">
        <is>
          <t>REC-SYN-201</t>
        </is>
      </c>
      <c r="I11">
        <f>COUNTIFS(Events[event_id],A11)&gt;1</f>
        <v/>
      </c>
      <c r="J11">
        <f>TEXT(DATEVALUE(LEFT(E11,10))-WEEKDAY(DATEVALUE(LEFT(E11,10)),2)+1,"yyyy-mm-dd")</f>
        <v/>
      </c>
    </row>
    <row r="12">
      <c r="A12" t="inlineStr">
        <is>
          <t>EVT-SYN-301</t>
        </is>
      </c>
      <c r="B12" t="inlineStr">
        <is>
          <t>shipment</t>
        </is>
      </c>
      <c r="C12" t="inlineStr">
        <is>
          <t>inventory_adjustment</t>
        </is>
      </c>
      <c r="D12" t="inlineStr">
        <is>
          <t>SITE-CENTRAL</t>
        </is>
      </c>
      <c r="E12" t="inlineStr">
        <is>
          <t>2026-10-21T08:00:00Z</t>
        </is>
      </c>
      <c r="F12" t="inlineStr">
        <is>
          <t>20</t>
        </is>
      </c>
      <c r="G12" t="inlineStr">
        <is>
          <t>DOC-ADJUST-EXPECTED-001</t>
        </is>
      </c>
      <c r="H12" t="inlineStr">
        <is>
          <t>REC-SYN-301</t>
        </is>
      </c>
      <c r="I12">
        <f>COUNTIFS(Events[event_id],A12)&gt;1</f>
        <v/>
      </c>
      <c r="J12">
        <f>TEXT(DATEVALUE(LEFT(E12,10))-WEEKDAY(DATEVALUE(LEFT(E12,10)),2)+1,"yyyy-mm-dd")</f>
        <v/>
      </c>
    </row>
    <row r="13">
      <c r="A13" t="inlineStr">
        <is>
          <t>EVT-SYN-302</t>
        </is>
      </c>
      <c r="B13" t="inlineStr">
        <is>
          <t>receipt</t>
        </is>
      </c>
      <c r="C13" t="inlineStr">
        <is>
          <t>inventory_adjustment</t>
        </is>
      </c>
      <c r="D13" t="inlineStr">
        <is>
          <t>SITE-CENTRAL</t>
        </is>
      </c>
      <c r="E13" t="inlineStr">
        <is>
          <t>2026-10-21T09:00:00Z</t>
        </is>
      </c>
      <c r="F13" t="inlineStr">
        <is>
          <t>18</t>
        </is>
      </c>
      <c r="G13" t="inlineStr">
        <is>
          <t>DOC-ADJUST-RECEIPT-001</t>
        </is>
      </c>
      <c r="H13" t="inlineStr">
        <is>
          <t>REC-SYN-301</t>
        </is>
      </c>
      <c r="I13">
        <f>COUNTIFS(Events[event_id],A13)&gt;1</f>
        <v/>
      </c>
      <c r="J13">
        <f>TEXT(DATEVALUE(LEFT(E13,10))-WEEKDAY(DATEVALUE(LEFT(E13,10)),2)+1,"yyyy-mm-dd")</f>
        <v/>
      </c>
    </row>
    <row r="14">
      <c r="A14" t="inlineStr">
        <is>
          <t>EVT-SYN-303</t>
        </is>
      </c>
      <c r="B14" t="inlineStr">
        <is>
          <t>inventory_adjustment</t>
        </is>
      </c>
      <c r="C14" t="inlineStr">
        <is>
          <t>inventory_adjustment</t>
        </is>
      </c>
      <c r="D14" t="inlineStr">
        <is>
          <t>SITE-CENTRAL</t>
        </is>
      </c>
      <c r="E14" t="inlineStr">
        <is>
          <t>2026-10-21T10:00:00Z</t>
        </is>
      </c>
      <c r="F14" t="inlineStr">
        <is>
          <t>2</t>
        </is>
      </c>
      <c r="G14" t="inlineStr">
        <is>
          <t>DOC-ADJUST-COUNT-001</t>
        </is>
      </c>
      <c r="H14" t="inlineStr">
        <is>
          <t>REC-SYN-301</t>
        </is>
      </c>
      <c r="I14">
        <f>COUNTIFS(Events[event_id],A14)&gt;1</f>
        <v/>
      </c>
      <c r="J14">
        <f>TEXT(DATEVALUE(LEFT(E14,10))-WEEKDAY(DATEVALUE(LEFT(E14,10)),2)+1,"yyyy-mm-dd")</f>
        <v/>
      </c>
    </row>
  </sheetData>
  <autoFilter ref="A1:J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6" customWidth="1" min="4" max="4"/>
    <col width="12" customWidth="1" min="5" max="5"/>
    <col width="29" customWidth="1" min="6" max="6"/>
    <col width="12" customWidth="1" min="7" max="7"/>
    <col width="12" customWidth="1" min="8" max="8"/>
    <col width="19" customWidth="1" min="9" max="9"/>
    <col width="19" customWidth="1" min="10" max="10"/>
    <col width="16" customWidth="1" min="11" max="11"/>
    <col width="16" customWidth="1" min="12" max="12"/>
    <col width="23" customWidth="1" min="13" max="13"/>
    <col width="19" customWidth="1" min="14" max="14"/>
    <col width="27" customWidth="1" min="15" max="15"/>
    <col width="27" customWidth="1" min="16" max="16"/>
    <col width="42" customWidth="1" min="17" max="17"/>
    <col width="42" customWidth="1" min="18" max="18"/>
  </cols>
  <sheetData>
    <row r="1" ht="25" customHeight="1">
      <c r="A1" s="1" t="inlineStr">
        <is>
          <t>case_id</t>
        </is>
      </c>
      <c r="B1" s="1" t="inlineStr">
        <is>
          <t>simulated</t>
        </is>
      </c>
      <c r="C1" s="1" t="inlineStr">
        <is>
          <t>case_type</t>
        </is>
      </c>
      <c r="D1" s="1" t="inlineStr">
        <is>
          <t>report_source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site_id</t>
        </is>
      </c>
      <c r="I1" s="1" t="inlineStr">
        <is>
          <t>process_step</t>
        </is>
      </c>
      <c r="J1" s="1" t="inlineStr">
        <is>
          <t>reconciliation_id</t>
        </is>
      </c>
      <c r="K1" s="1" t="inlineStr">
        <is>
          <t>expected_units</t>
        </is>
      </c>
      <c r="L1" s="1" t="inlineStr">
        <is>
          <t>recorded_units</t>
        </is>
      </c>
      <c r="M1" s="1" t="inlineStr">
        <is>
          <t>raw_discrepancy_units</t>
        </is>
      </c>
      <c r="N1" s="1" t="inlineStr">
        <is>
          <t>unexplained_units</t>
        </is>
      </c>
      <c r="O1" s="1" t="inlineStr">
        <is>
          <t>opened_at</t>
        </is>
      </c>
      <c r="P1" s="1" t="inlineStr">
        <is>
          <t>closed_at</t>
        </is>
      </c>
      <c r="Q1" s="1" t="inlineStr">
        <is>
          <t>open_age_days</t>
        </is>
      </c>
      <c r="R1" s="1" t="inlineStr">
        <is>
          <t>closed_duration_days</t>
        </is>
      </c>
    </row>
    <row r="2">
      <c r="A2" t="inlineStr">
        <is>
          <t>CASE-SYN-001</t>
        </is>
      </c>
      <c r="B2" t="b">
        <v>1</v>
      </c>
      <c r="C2" t="inlineStr">
        <is>
          <t>receipt_mismatch</t>
        </is>
      </c>
      <c r="D2" t="inlineStr">
        <is>
          <t>scheduled reconciliation</t>
        </is>
      </c>
      <c r="E2" t="inlineStr">
        <is>
          <t>normal</t>
        </is>
      </c>
      <c r="F2" t="inlineStr">
        <is>
          <t>Synthetic receiving lead</t>
        </is>
      </c>
      <c r="G2" t="inlineStr">
        <is>
          <t>closed</t>
        </is>
      </c>
      <c r="H2" t="inlineStr">
        <is>
          <t>SITE-NORTH</t>
        </is>
      </c>
      <c r="I2" t="inlineStr">
        <is>
          <t>receiving_handoff</t>
        </is>
      </c>
      <c r="J2" t="inlineStr">
        <is>
          <t>REC-SYN-001</t>
        </is>
      </c>
      <c r="K2" t="n">
        <v>100</v>
      </c>
      <c r="L2" t="n">
        <v>92</v>
      </c>
      <c r="M2" t="n">
        <v>8</v>
      </c>
      <c r="N2" t="n">
        <v>0</v>
      </c>
      <c r="O2" t="inlineStr">
        <is>
          <t>2026-10-19T10:15:00+00:00</t>
        </is>
      </c>
      <c r="P2" t="inlineStr">
        <is>
          <t>2026-10-22T14:00:00+00:00</t>
        </is>
      </c>
      <c r="Q2">
        <f>IF(G2="closed","",TODAY()-DATEVALUE(LEFT(O2,10)))</f>
        <v/>
      </c>
      <c r="R2">
        <f>IF(G2&lt;&gt;"closed","",DATEVALUE(LEFT(P2,10))-DATEVALUE(LEFT(O2,10)))</f>
        <v/>
      </c>
    </row>
    <row r="3">
      <c r="A3" t="inlineStr">
        <is>
          <t>CASE-SYN-002</t>
        </is>
      </c>
      <c r="B3" t="b">
        <v>1</v>
      </c>
      <c r="C3" t="inlineStr">
        <is>
          <t>receipt_mismatch</t>
        </is>
      </c>
      <c r="D3" t="inlineStr">
        <is>
          <t>scheduled reconciliation</t>
        </is>
      </c>
      <c r="E3" t="inlineStr">
        <is>
          <t>high</t>
        </is>
      </c>
      <c r="F3" t="inlineStr">
        <is>
          <t>Synthetic inventory analyst</t>
        </is>
      </c>
      <c r="G3" t="inlineStr">
        <is>
          <t>review</t>
        </is>
      </c>
      <c r="H3" t="inlineStr">
        <is>
          <t>SITE-WEST</t>
        </is>
      </c>
      <c r="I3" t="inlineStr">
        <is>
          <t>returns_handoff</t>
        </is>
      </c>
      <c r="J3" t="inlineStr">
        <is>
          <t>REC-SYN-002</t>
        </is>
      </c>
      <c r="K3" t="n">
        <v>12</v>
      </c>
      <c r="L3" t="n">
        <v>10</v>
      </c>
      <c r="M3" t="n">
        <v>2</v>
      </c>
      <c r="N3" t="n">
        <v>2</v>
      </c>
      <c r="O3" t="inlineStr">
        <is>
          <t>2026-10-21T09:00:00+00:00</t>
        </is>
      </c>
      <c r="Q3">
        <f>IF(G3="closed","",TODAY()-DATEVALUE(LEFT(O3,10)))</f>
        <v/>
      </c>
      <c r="R3">
        <f>IF(G3&lt;&gt;"closed","",DATEVALUE(LEFT(P3,10))-DATEVALUE(LEFT(O3,10)))</f>
        <v/>
      </c>
    </row>
  </sheetData>
  <autoFilter ref="A1:R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42" customWidth="1" style="2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14" customWidth="1" min="10" max="10"/>
    <col width="25" customWidth="1" min="11" max="11"/>
    <col width="38" customWidth="1" min="12" max="12"/>
    <col width="20" customWidth="1" style="3" min="13" max="13"/>
  </cols>
  <sheetData>
    <row r="1" ht="25" customHeight="1">
      <c r="A1" s="1" t="inlineStr">
        <is>
          <t>reconciliation_id</t>
        </is>
      </c>
      <c r="B1" s="1" t="inlineStr">
        <is>
          <t>site_id</t>
        </is>
      </c>
      <c r="C1" s="1" t="inlineStr">
        <is>
          <t>process_step</t>
        </is>
      </c>
      <c r="D1" s="1" t="inlineStr">
        <is>
          <t>week_start</t>
        </is>
      </c>
      <c r="E1" s="1" t="inlineStr">
        <is>
          <t>expected_units</t>
        </is>
      </c>
      <c r="F1" s="1" t="inlineStr">
        <is>
          <t>recorded_units</t>
        </is>
      </c>
      <c r="G1" s="1" t="inlineStr">
        <is>
          <t>correction_units</t>
        </is>
      </c>
      <c r="H1" s="1" t="inlineStr">
        <is>
          <t>documented_adjustment_units</t>
        </is>
      </c>
      <c r="I1" s="1" t="inlineStr">
        <is>
          <t>correction_source_ref</t>
        </is>
      </c>
      <c r="J1" s="1" t="inlineStr">
        <is>
          <t>raw_mismatch</t>
        </is>
      </c>
      <c r="K1" s="1" t="inlineStr">
        <is>
          <t>expected_minus_recorded</t>
        </is>
      </c>
      <c r="L1" s="1" t="inlineStr">
        <is>
          <t>unexplained_units</t>
        </is>
      </c>
      <c r="M1" s="1" t="inlineStr">
        <is>
          <t>discrepancy_rate</t>
        </is>
      </c>
    </row>
    <row r="2">
      <c r="A2" t="inlineStr">
        <is>
          <t>REC-SYN-001</t>
        </is>
      </c>
      <c r="B2" t="inlineStr">
        <is>
          <t>SITE-NORTH</t>
        </is>
      </c>
      <c r="C2" t="inlineStr">
        <is>
          <t>receiving_handoff</t>
        </is>
      </c>
      <c r="D2">
        <f>DATEVALUE("2026-10-19")-WEEKDAY(DATEVALUE("2026-10-19"),2)+1</f>
        <v/>
      </c>
      <c r="E2">
        <f>SUMIFS(Events[quantity],Events[reconciliation_id],A2,Events[event_type],"shipment")+SUMIFS(Events[quantity],Events[reconciliation_id],A2,Events[event_type],"transfer_in")</f>
        <v/>
      </c>
      <c r="F2">
        <f>SUMIFS(Events[quantity],Events[reconciliation_id],A2,Events[event_type],"receipt")+SUMIFS(Events[quantity],Events[reconciliation_id],A2,Events[event_type],"transfer_out")+SUMIFS(Events[quantity],Events[reconciliation_id],A2,Events[event_type],"return")</f>
        <v/>
      </c>
      <c r="G2">
        <f>SUMIFS(Events[quantity],Events[reconciliation_id],A2,Events[event_type],"receipt_correction")</f>
        <v/>
      </c>
      <c r="H2">
        <f>SUMIFS(Events[quantity],Events[reconciliation_id],A2,Events[event_type],"damage_adjustment")+SUMIFS(Events[quantity],Events[reconciliation_id],A2,Events[event_type],"inventory_adjustment")</f>
        <v/>
      </c>
      <c r="I2">
        <f>XLOOKUP(1,(Events[reconciliation_id]=A2)*(Events[event_type]="receipt_correction"),Events[source_ref],"No correction record")</f>
        <v/>
      </c>
      <c r="J2">
        <f>ABS(E2-F2)</f>
        <v/>
      </c>
      <c r="K2">
        <f>E2-F2</f>
        <v/>
      </c>
      <c r="L2">
        <f>IF(K2&gt;0,MAX(0,J2-MIN(J2,G2+H2)),J2)</f>
        <v/>
      </c>
      <c r="M2">
        <f>IF(E2=0,"",L2/E2)</f>
        <v/>
      </c>
    </row>
    <row r="3">
      <c r="A3" t="inlineStr">
        <is>
          <t>REC-SYN-002</t>
        </is>
      </c>
      <c r="B3" t="inlineStr">
        <is>
          <t>SITE-WEST</t>
        </is>
      </c>
      <c r="C3" t="inlineStr">
        <is>
          <t>returns_handoff</t>
        </is>
      </c>
      <c r="D3">
        <f>DATEVALUE("2026-10-21")-WEEKDAY(DATEVALUE("2026-10-21"),2)+1</f>
        <v/>
      </c>
      <c r="E3">
        <f>SUMIFS(Events[quantity],Events[reconciliation_id],A3,Events[event_type],"shipment")+SUMIFS(Events[quantity],Events[reconciliation_id],A3,Events[event_type],"transfer_in")</f>
        <v/>
      </c>
      <c r="F3">
        <f>SUMIFS(Events[quantity],Events[reconciliation_id],A3,Events[event_type],"receipt")+SUMIFS(Events[quantity],Events[reconciliation_id],A3,Events[event_type],"transfer_out")+SUMIFS(Events[quantity],Events[reconciliation_id],A3,Events[event_type],"return")</f>
        <v/>
      </c>
      <c r="G3">
        <f>SUMIFS(Events[quantity],Events[reconciliation_id],A3,Events[event_type],"receipt_correction")</f>
        <v/>
      </c>
      <c r="H3">
        <f>SUMIFS(Events[quantity],Events[reconciliation_id],A3,Events[event_type],"damage_adjustment")+SUMIFS(Events[quantity],Events[reconciliation_id],A3,Events[event_type],"inventory_adjustment")</f>
        <v/>
      </c>
      <c r="I3">
        <f>XLOOKUP(1,(Events[reconciliation_id]=A3)*(Events[event_type]="receipt_correction"),Events[source_ref],"No correction record")</f>
        <v/>
      </c>
      <c r="J3">
        <f>ABS(E3-F3)</f>
        <v/>
      </c>
      <c r="K3">
        <f>E3-F3</f>
        <v/>
      </c>
      <c r="L3">
        <f>IF(K3&gt;0,MAX(0,J3-MIN(J3,G3+H3)),J3)</f>
        <v/>
      </c>
      <c r="M3">
        <f>IF(E3=0,"",L3/E3)</f>
        <v/>
      </c>
    </row>
    <row r="4">
      <c r="A4" t="inlineStr">
        <is>
          <t>REC-SYN-101</t>
        </is>
      </c>
      <c r="B4" t="inlineStr">
        <is>
          <t>SITE-SOUTH</t>
        </is>
      </c>
      <c r="C4" t="inlineStr">
        <is>
          <t>transfer_handoff</t>
        </is>
      </c>
      <c r="D4">
        <f>DATEVALUE("2026-10-19")-WEEKDAY(DATEVALUE("2026-10-19"),2)+1</f>
        <v/>
      </c>
      <c r="E4">
        <f>SUMIFS(Events[quantity],Events[reconciliation_id],A4,Events[event_type],"shipment")+SUMIFS(Events[quantity],Events[reconciliation_id],A4,Events[event_type],"transfer_in")</f>
        <v/>
      </c>
      <c r="F4">
        <f>SUMIFS(Events[quantity],Events[reconciliation_id],A4,Events[event_type],"receipt")+SUMIFS(Events[quantity],Events[reconciliation_id],A4,Events[event_type],"transfer_out")+SUMIFS(Events[quantity],Events[reconciliation_id],A4,Events[event_type],"return")</f>
        <v/>
      </c>
      <c r="G4">
        <f>SUMIFS(Events[quantity],Events[reconciliation_id],A4,Events[event_type],"receipt_correction")</f>
        <v/>
      </c>
      <c r="H4">
        <f>SUMIFS(Events[quantity],Events[reconciliation_id],A4,Events[event_type],"damage_adjustment")+SUMIFS(Events[quantity],Events[reconciliation_id],A4,Events[event_type],"inventory_adjustment")</f>
        <v/>
      </c>
      <c r="I4">
        <f>XLOOKUP(1,(Events[reconciliation_id]=A4)*(Events[event_type]="receipt_correction"),Events[source_ref],"No correction record")</f>
        <v/>
      </c>
      <c r="J4">
        <f>ABS(E4-F4)</f>
        <v/>
      </c>
      <c r="K4">
        <f>E4-F4</f>
        <v/>
      </c>
      <c r="L4">
        <f>IF(K4&gt;0,MAX(0,J4-MIN(J4,G4+H4)),J4)</f>
        <v/>
      </c>
      <c r="M4">
        <f>IF(E4=0,"",L4/E4)</f>
        <v/>
      </c>
    </row>
    <row r="5">
      <c r="A5" t="inlineStr">
        <is>
          <t>REC-SYN-201</t>
        </is>
      </c>
      <c r="B5" t="inlineStr">
        <is>
          <t>SITE-EAST</t>
        </is>
      </c>
      <c r="C5" t="inlineStr">
        <is>
          <t>returns_handoff</t>
        </is>
      </c>
      <c r="D5">
        <f>DATEVALUE("2026-10-20")-WEEKDAY(DATEVALUE("2026-10-20"),2)+1</f>
        <v/>
      </c>
      <c r="E5">
        <f>SUMIFS(Events[quantity],Events[reconciliation_id],A5,Events[event_type],"shipment")+SUMIFS(Events[quantity],Events[reconciliation_id],A5,Events[event_type],"transfer_in")</f>
        <v/>
      </c>
      <c r="F5">
        <f>SUMIFS(Events[quantity],Events[reconciliation_id],A5,Events[event_type],"receipt")+SUMIFS(Events[quantity],Events[reconciliation_id],A5,Events[event_type],"transfer_out")+SUMIFS(Events[quantity],Events[reconciliation_id],A5,Events[event_type],"return")</f>
        <v/>
      </c>
      <c r="G5">
        <f>SUMIFS(Events[quantity],Events[reconciliation_id],A5,Events[event_type],"receipt_correction")</f>
        <v/>
      </c>
      <c r="H5">
        <f>SUMIFS(Events[quantity],Events[reconciliation_id],A5,Events[event_type],"damage_adjustment")+SUMIFS(Events[quantity],Events[reconciliation_id],A5,Events[event_type],"inventory_adjustment")</f>
        <v/>
      </c>
      <c r="I5">
        <f>XLOOKUP(1,(Events[reconciliation_id]=A5)*(Events[event_type]="receipt_correction"),Events[source_ref],"No correction record")</f>
        <v/>
      </c>
      <c r="J5">
        <f>ABS(E5-F5)</f>
        <v/>
      </c>
      <c r="K5">
        <f>E5-F5</f>
        <v/>
      </c>
      <c r="L5">
        <f>IF(K5&gt;0,MAX(0,J5-MIN(J5,G5+H5)),J5)</f>
        <v/>
      </c>
      <c r="M5">
        <f>IF(E5=0,"",L5/E5)</f>
        <v/>
      </c>
    </row>
    <row r="6">
      <c r="A6" t="inlineStr">
        <is>
          <t>REC-SYN-301</t>
        </is>
      </c>
      <c r="B6" t="inlineStr">
        <is>
          <t>SITE-CENTRAL</t>
        </is>
      </c>
      <c r="C6" t="inlineStr">
        <is>
          <t>inventory_adjustment</t>
        </is>
      </c>
      <c r="D6">
        <f>DATEVALUE("2026-10-21")-WEEKDAY(DATEVALUE("2026-10-21"),2)+1</f>
        <v/>
      </c>
      <c r="E6">
        <f>SUMIFS(Events[quantity],Events[reconciliation_id],A6,Events[event_type],"shipment")+SUMIFS(Events[quantity],Events[reconciliation_id],A6,Events[event_type],"transfer_in")</f>
        <v/>
      </c>
      <c r="F6">
        <f>SUMIFS(Events[quantity],Events[reconciliation_id],A6,Events[event_type],"receipt")+SUMIFS(Events[quantity],Events[reconciliation_id],A6,Events[event_type],"transfer_out")+SUMIFS(Events[quantity],Events[reconciliation_id],A6,Events[event_type],"return")</f>
        <v/>
      </c>
      <c r="G6">
        <f>SUMIFS(Events[quantity],Events[reconciliation_id],A6,Events[event_type],"receipt_correction")</f>
        <v/>
      </c>
      <c r="H6">
        <f>SUMIFS(Events[quantity],Events[reconciliation_id],A6,Events[event_type],"damage_adjustment")+SUMIFS(Events[quantity],Events[reconciliation_id],A6,Events[event_type],"inventory_adjustment")</f>
        <v/>
      </c>
      <c r="I6">
        <f>XLOOKUP(1,(Events[reconciliation_id]=A6)*(Events[event_type]="receipt_correction"),Events[source_ref],"No correction record")</f>
        <v/>
      </c>
      <c r="J6">
        <f>ABS(E6-F6)</f>
        <v/>
      </c>
      <c r="K6">
        <f>E6-F6</f>
        <v/>
      </c>
      <c r="L6">
        <f>IF(K6&gt;0,MAX(0,J6-MIN(J6,G6+H6)),J6)</f>
        <v/>
      </c>
      <c r="M6">
        <f>IF(E6=0,"",L6/E6)</f>
        <v/>
      </c>
    </row>
  </sheetData>
  <autoFilter ref="A1: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7" customWidth="1" min="2" max="2"/>
    <col width="63" customWidth="1" min="3" max="3"/>
  </cols>
  <sheetData>
    <row r="1" ht="25" customHeight="1">
      <c r="A1" s="1" t="inlineStr">
        <is>
          <t>Measure</t>
        </is>
      </c>
      <c r="B1" s="1" t="inlineStr">
        <is>
          <t>Value / evidence</t>
        </is>
      </c>
      <c r="C1" s="1" t="inlineStr">
        <is>
          <t>Limit / next step</t>
        </is>
      </c>
    </row>
    <row r="2">
      <c r="A2" s="4" t="inlineStr">
        <is>
          <t>CASE-SYN-001 first pass</t>
        </is>
      </c>
      <c r="B2" s="4" t="inlineStr">
        <is>
          <t>100 expected; 92 recorded; 8 raw mismatch</t>
        </is>
      </c>
      <c r="C2" s="4" t="inlineStr">
        <is>
          <t>Not a theft conclusion</t>
        </is>
      </c>
    </row>
    <row r="3">
      <c r="A3" s="4" t="inlineStr">
        <is>
          <t>CASE-SYN-001 review</t>
        </is>
      </c>
      <c r="B3" s="4" t="inlineStr">
        <is>
          <t>5 delayed correction + 3 documented damage = 8 explained</t>
        </is>
      </c>
      <c r="C3" s="4" t="inlineStr">
        <is>
          <t>Resolved reconciliation issue; 0 unexplained</t>
        </is>
      </c>
    </row>
    <row r="4">
      <c r="A4" s="4" t="inlineStr">
        <is>
          <t>CASE-SYN-002</t>
        </is>
      </c>
      <c r="B4" s="4" t="inlineStr">
        <is>
          <t>12 expected; 10 recorded; 2 unresolved</t>
        </is>
      </c>
      <c r="C4" s="4" t="inlineStr">
        <is>
          <t>Keep open; request synthetic correction and handoff records</t>
        </is>
      </c>
    </row>
    <row r="5">
      <c r="A5" s="4" t="inlineStr">
        <is>
          <t>Process control</t>
        </is>
      </c>
      <c r="B5" s="4" t="inlineStr">
        <is>
          <t>Timestamped two-party handoff count and linked correction reason</t>
        </is>
      </c>
      <c r="C5" s="4" t="inlineStr">
        <is>
          <t>Synthetic receiving process owner; due 2026-11-15</t>
        </is>
      </c>
    </row>
    <row r="6">
      <c r="A6" s="4" t="inlineStr">
        <is>
          <t>Rate definition</t>
        </is>
      </c>
      <c r="B6" s="4" t="inlineStr">
        <is>
          <t>Unexplained units / expected units</t>
        </is>
      </c>
      <c r="C6" s="4" t="inlineStr">
        <is>
          <t>Only compare same site, process, and defined period</t>
        </is>
      </c>
    </row>
    <row r="7">
      <c r="A7" s="4" t="inlineStr">
        <is>
          <t>Time to closure</t>
        </is>
      </c>
      <c r="B7" s="4">
        <f>MEDIAN(Cases[closed_duration_days])</f>
        <v/>
      </c>
      <c r="C7" s="4" t="inlineStr">
        <is>
          <t>Closed-case sample size: =COUNT(Cases[closed_duration_days])</t>
        </is>
      </c>
    </row>
    <row r="8">
      <c r="A8" s="4" t="inlineStr">
        <is>
          <t>Action completion</t>
        </is>
      </c>
      <c r="B8" s="4" t="inlineStr">
        <is>
          <t>Use COUNTIFS for verified completed and due actions</t>
        </is>
      </c>
      <c r="C8" s="4" t="inlineStr">
        <is>
          <t>Leave blank if no actions were due; require verification evidence</t>
        </is>
      </c>
    </row>
    <row r="9">
      <c r="A9" s="4" t="inlineStr">
        <is>
          <t>Limitations</t>
        </is>
      </c>
      <c r="B9" s="4" t="inlineStr">
        <is>
          <t>Synthetic records; one closed-case example</t>
        </is>
      </c>
      <c r="C9" s="4" t="inlineStr">
        <is>
          <t>Hashes do not prove authenticity; application audit is not immutable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2026-10-29T17:55:21Z</dcterms:created>
  <dcterms:modified xsi:type="dcterms:W3CDTF">2026-10-29T17:55:21Z</dcterms:modified>
</cp:coreProperties>
</file>